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815" windowHeight="11925"/>
  </bookViews>
  <sheets>
    <sheet name="Grille evaluatio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9" i="1"/>
  <c r="H10" i="1"/>
  <c r="H11" i="1"/>
  <c r="H8" i="1"/>
  <c r="H7" i="1" l="1"/>
  <c r="B12" i="1" l="1"/>
  <c r="H12" i="1" s="1"/>
  <c r="G12" i="1" s="1"/>
  <c r="G15" i="1" s="1"/>
</calcChain>
</file>

<file path=xl/sharedStrings.xml><?xml version="1.0" encoding="utf-8"?>
<sst xmlns="http://schemas.openxmlformats.org/spreadsheetml/2006/main" count="41" uniqueCount="41">
  <si>
    <t>A</t>
  </si>
  <si>
    <t>B</t>
  </si>
  <si>
    <t>C</t>
  </si>
  <si>
    <t>D</t>
  </si>
  <si>
    <t>Evaluation</t>
  </si>
  <si>
    <t>Calcul Intermédiaire</t>
  </si>
  <si>
    <t>Commentaire</t>
  </si>
  <si>
    <t>Note finale :</t>
  </si>
  <si>
    <t>coefficient</t>
  </si>
  <si>
    <t>Critères dévaluation</t>
  </si>
  <si>
    <t>Modèle physique</t>
  </si>
  <si>
    <t>Peuplement des dimensions</t>
  </si>
  <si>
    <t>Peuplement des mesures</t>
  </si>
  <si>
    <t>Partitionnement et bucketing</t>
  </si>
  <si>
    <t>Requêtes d’analyse</t>
  </si>
  <si>
    <t>Evaluation de performance</t>
  </si>
  <si>
    <t>Création des tables externes avec la clause location dans hive pour accueillir les 4 dimensions et la table mesures. 
Clé de substitution existante dans les dimensions.</t>
  </si>
  <si>
    <t>A3 informatique - Stockage et Big data - Livrable 2 (Modèle physique et optimisation)</t>
  </si>
  <si>
    <t>Création des tables externes avec la clause location dans hive pour accueillir minimum 3 dimensions et la table mesures. 
Clé de substitution existante dans les dimensions.</t>
  </si>
  <si>
    <t xml:space="preserve">&gt;2 dimensions manquantes
</t>
  </si>
  <si>
    <t>Pas de fichier de données qui stocke les mesures, par conséquent pas de table de faits</t>
  </si>
  <si>
    <t>Les fichiers de données des dimensions sont présents dans le datalake avec tous les traitements faits dans Talend.</t>
  </si>
  <si>
    <t>Une dimension manquante avec des traitements manquants.</t>
  </si>
  <si>
    <t>Deux dimensions manquantes avec des traitements manquants.</t>
  </si>
  <si>
    <t>Pas de peuplement des dimensions</t>
  </si>
  <si>
    <t xml:space="preserve">Les 4 mesures sont présentes : nbre_consultation, nbre_hospitalisation, total_satisfaction et nbre_deces. 
Les calculs sont faits après le peuplement des clés étrangères
</t>
  </si>
  <si>
    <t>2 mesures seulement sont calculées</t>
  </si>
  <si>
    <t>1 mesure seulement qui est calculée</t>
  </si>
  <si>
    <t>Beaucoup de lacunes sur les calculs de mesures et aucune n’est finalisée</t>
  </si>
  <si>
    <t xml:space="preserve">Le partitionnement est fait sur la colonne sexe, tranche d’âge de la dimension patient ; par région dans la dimension localisation, par année dans la dimension temps (2015-2021).
Bucketing sur les différentes partitions.
</t>
  </si>
  <si>
    <t>Deux partitionnements manquants. 
Buckets présents</t>
  </si>
  <si>
    <t>Plus de deux partitionnements manquants. 
Pas de bucketing</t>
  </si>
  <si>
    <t>Aucune partition ou bucket.</t>
  </si>
  <si>
    <t>Le groupe a répondu à toutes les questions d’analyse (4 mesures) identifiées dans la partie analyse des besoins. 
Utilisation des fonctions d’agrégation, vue, tri..</t>
  </si>
  <si>
    <t>Le groupe a répondu à la moitié des questions d’analyse (2 mesures avec les axes d’analyse différents). 
Utilisation des fonctions d’agrégation, vue, tri..</t>
  </si>
  <si>
    <t xml:space="preserve">Le groupe a répondu à deux question seulement avec la même mesure. </t>
  </si>
  <si>
    <t xml:space="preserve">Au max une question résolue. </t>
  </si>
  <si>
    <t xml:space="preserve">Les requêtes d’analyse sont évaluées par rapport au partitionnement établi selon le temps de réponse. </t>
  </si>
  <si>
    <t xml:space="preserve">La plupart des requêtes sont évaluées correctement (écarts mineurs) </t>
  </si>
  <si>
    <t>Quelques requêtes seulement sont évaluées</t>
  </si>
  <si>
    <t>Moins de deux requêtes évaluées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</si>
</sst>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1"/>
      <name val="Roboto"/>
    </font>
    <font>
      <sz val="18"/>
      <name val="Roboto"/>
    </font>
    <font>
      <sz val="11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0" fillId="0" borderId="0" xfId="0" applyBorder="1" applyAlignment="1"/>
    <xf numFmtId="1" fontId="8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" fontId="9" fillId="0" borderId="0" xfId="0" applyNumberFormat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 applyProtection="1">
      <alignment horizontal="center" vertical="center" wrapText="1"/>
    </xf>
    <xf numFmtId="1" fontId="9" fillId="0" borderId="5" xfId="0" applyNumberFormat="1" applyFont="1" applyFill="1" applyBorder="1" applyAlignment="1" applyProtection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9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9" fillId="0" borderId="0" xfId="0" applyFont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u/>
        <color theme="5" tint="0.79998168889431442"/>
      </font>
      <fill>
        <patternFill>
          <bgColor rgb="FFC00000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Roboto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Roboto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Roboto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"/>
        <scheme val="none"/>
      </font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Roboto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FAFC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3</xdr:row>
      <xdr:rowOff>38100</xdr:rowOff>
    </xdr:from>
    <xdr:to>
      <xdr:col>7</xdr:col>
      <xdr:colOff>647700</xdr:colOff>
      <xdr:row>3</xdr:row>
      <xdr:rowOff>266700</xdr:rowOff>
    </xdr:to>
    <xdr:sp macro="" textlink="">
      <xdr:nvSpPr>
        <xdr:cNvPr id="2" name="Flèche vers le ba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405360" y="853440"/>
          <a:ext cx="281940" cy="228600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0</xdr:col>
      <xdr:colOff>7620</xdr:colOff>
      <xdr:row>0</xdr:row>
      <xdr:rowOff>0</xdr:rowOff>
    </xdr:from>
    <xdr:to>
      <xdr:col>0</xdr:col>
      <xdr:colOff>838200</xdr:colOff>
      <xdr:row>2</xdr:row>
      <xdr:rowOff>91440</xdr:rowOff>
    </xdr:to>
    <xdr:pic>
      <xdr:nvPicPr>
        <xdr:cNvPr id="8" name="Image 7" descr="Afficher l’image sourc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830580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au1" displayName="Tableau1" ref="A5:I12" totalsRowCount="1" headerRowDxfId="21">
  <autoFilter ref="A5:I11"/>
  <tableColumns count="9">
    <tableColumn id="9" name="Critères dévaluation" dataDxfId="20" totalsRowDxfId="5"/>
    <tableColumn id="2" name="coefficient" totalsRowFunction="custom" dataDxfId="19" totalsRowDxfId="4">
      <totalsRowFormula>SUM(Tableau1[coefficient])</totalsRowFormula>
    </tableColumn>
    <tableColumn id="3" name="A" dataDxfId="18" totalsRowDxfId="3"/>
    <tableColumn id="4" name="B" dataDxfId="17" totalsRowDxfId="2"/>
    <tableColumn id="5" name="C" dataDxfId="16"/>
    <tableColumn id="6" name="D" dataDxfId="15"/>
    <tableColumn id="7" name="Evaluation" totalsRowFunction="custom" dataDxfId="14" totalsRowDxfId="1">
      <totalsRowFormula>IF(Tableau1[[#Totals],[Calcul Intermédiaire]]&gt;=3.6,"A",IF(Tableau1[[#Totals],[Calcul Intermédiaire]]&gt;=2.6,"B", IF(Tableau1[[#Totals],[Calcul Intermédiaire]]&gt;=0.6,"C","D")))</totalsRowFormula>
    </tableColumn>
    <tableColumn id="8" name="Calcul Intermédiaire" totalsRowFunction="custom" dataDxfId="13" totalsRowDxfId="0">
      <calculatedColumnFormula>IF(CODE(UPPER(Tableau1[[#This Row],[Evaluation]]))&lt;67, 69-CODE(UPPER(Tableau1[[#This Row],[Evaluation]])),68-CODE(UPPER(Tableau1[[#This Row],[Evaluation]])))*Tableau1[[#This Row],[coefficient]]</calculatedColumnFormula>
      <totalsRowFormula>SUBTOTAL(109,Tableau1[Calcul Intermédiaire])/Tableau1[[#Totals],[coefficient]]</totalsRowFormula>
    </tableColumn>
    <tableColumn id="11" name="Commentaire" dataDxfId="1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abSelected="1" zoomScale="74" zoomScaleNormal="74" workbookViewId="0">
      <selection activeCell="C8" sqref="C8"/>
    </sheetView>
  </sheetViews>
  <sheetFormatPr baseColWidth="10" defaultColWidth="9.140625" defaultRowHeight="15" outlineLevelRow="1" outlineLevelCol="1" x14ac:dyDescent="0.25"/>
  <cols>
    <col min="1" max="1" width="58.85546875" style="1" customWidth="1"/>
    <col min="2" max="2" width="17.5703125" style="1" bestFit="1" customWidth="1"/>
    <col min="3" max="3" width="47.7109375" style="1" customWidth="1"/>
    <col min="4" max="4" width="47.7109375" style="3" customWidth="1"/>
    <col min="5" max="5" width="47.7109375" style="2" customWidth="1"/>
    <col min="6" max="6" width="47.7109375" customWidth="1"/>
    <col min="7" max="7" width="25.28515625" customWidth="1"/>
    <col min="8" max="8" width="19.140625" style="2" hidden="1" customWidth="1"/>
    <col min="9" max="9" width="56.42578125" style="2" customWidth="1" outlineLevel="1"/>
    <col min="10" max="10" width="56.5703125" style="2" customWidth="1"/>
    <col min="11" max="11" width="5.42578125" style="2" customWidth="1"/>
    <col min="12" max="18" width="5" customWidth="1"/>
    <col min="19" max="21" width="9.140625" hidden="1" customWidth="1"/>
    <col min="22" max="22" width="9.140625" customWidth="1"/>
    <col min="23" max="23" width="7.5703125" customWidth="1"/>
    <col min="24" max="24" width="8.140625" customWidth="1"/>
  </cols>
  <sheetData>
    <row r="1" spans="1:21" ht="23.25" customHeight="1" x14ac:dyDescent="0.25">
      <c r="A1" s="32" t="s">
        <v>17</v>
      </c>
      <c r="B1" s="32"/>
      <c r="C1" s="32"/>
      <c r="D1" s="32"/>
      <c r="E1" s="32"/>
      <c r="F1" s="32"/>
      <c r="G1" s="32"/>
      <c r="H1" s="32"/>
      <c r="I1" s="32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1" customFormat="1" ht="34.9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2"/>
      <c r="K2" s="2"/>
    </row>
    <row r="3" spans="1:21" s="16" customFormat="1" ht="11.25" customHeight="1" x14ac:dyDescent="0.25">
      <c r="C3" s="17"/>
      <c r="D3" s="17"/>
      <c r="E3" s="17"/>
      <c r="F3" s="17"/>
      <c r="G3" s="17"/>
      <c r="H3" s="17"/>
      <c r="I3" s="18"/>
      <c r="J3" s="18"/>
      <c r="K3" s="18"/>
    </row>
    <row r="4" spans="1:21" s="1" customFormat="1" ht="23.25" x14ac:dyDescent="0.25">
      <c r="A4" s="5"/>
      <c r="B4" s="5"/>
      <c r="C4" s="19"/>
      <c r="D4" s="19"/>
      <c r="E4" s="19"/>
      <c r="F4" s="19"/>
      <c r="H4" s="2"/>
      <c r="I4" s="2"/>
      <c r="J4" s="2"/>
      <c r="K4" s="2"/>
    </row>
    <row r="5" spans="1:21" s="1" customFormat="1" ht="16.5" thickBot="1" x14ac:dyDescent="0.3">
      <c r="A5" s="7" t="s">
        <v>9</v>
      </c>
      <c r="B5" s="7" t="s">
        <v>8</v>
      </c>
      <c r="C5" s="10" t="s">
        <v>0</v>
      </c>
      <c r="D5" s="8" t="s">
        <v>1</v>
      </c>
      <c r="E5" s="8" t="s">
        <v>2</v>
      </c>
      <c r="F5" s="8" t="s">
        <v>3</v>
      </c>
      <c r="G5" s="8" t="s">
        <v>4</v>
      </c>
      <c r="H5" s="9" t="s">
        <v>5</v>
      </c>
      <c r="I5" s="9" t="s">
        <v>6</v>
      </c>
      <c r="J5" s="2"/>
      <c r="K5" s="2"/>
    </row>
    <row r="6" spans="1:21" s="1" customFormat="1" ht="107.25" customHeight="1" x14ac:dyDescent="0.25">
      <c r="A6" s="22" t="s">
        <v>10</v>
      </c>
      <c r="B6" s="23">
        <v>2</v>
      </c>
      <c r="C6" s="24" t="s">
        <v>16</v>
      </c>
      <c r="D6" s="24" t="s">
        <v>18</v>
      </c>
      <c r="E6" s="24" t="s">
        <v>19</v>
      </c>
      <c r="F6" s="24" t="s">
        <v>20</v>
      </c>
      <c r="G6" s="25"/>
      <c r="H6" s="25" t="e">
        <f>IF(CODE(UPPER(Tableau1[[#This Row],[Evaluation]]))&lt;67, 69-CODE(UPPER(Tableau1[[#This Row],[Evaluation]])),68-CODE(UPPER(Tableau1[[#This Row],[Evaluation]])))*Tableau1[[#This Row],[coefficient]]</f>
        <v>#VALUE!</v>
      </c>
      <c r="I6" s="26"/>
      <c r="J6" s="2"/>
      <c r="K6" s="2"/>
    </row>
    <row r="7" spans="1:21" s="1" customFormat="1" ht="102.75" customHeight="1" x14ac:dyDescent="0.25">
      <c r="A7" s="21" t="s">
        <v>11</v>
      </c>
      <c r="B7" s="20">
        <v>1</v>
      </c>
      <c r="C7" s="27" t="s">
        <v>21</v>
      </c>
      <c r="D7" s="27" t="s">
        <v>22</v>
      </c>
      <c r="E7" s="27" t="s">
        <v>23</v>
      </c>
      <c r="F7" s="27" t="s">
        <v>24</v>
      </c>
      <c r="G7" s="28"/>
      <c r="H7" s="29" t="e">
        <f>IF(CODE(UPPER(Tableau1[[#This Row],[Evaluation]]))&lt;67, 69-CODE(UPPER(Tableau1[[#This Row],[Evaluation]])),68-CODE(UPPER(Tableau1[[#This Row],[Evaluation]])))*Tableau1[[#This Row],[coefficient]]</f>
        <v>#VALUE!</v>
      </c>
      <c r="I7" s="30"/>
      <c r="J7" s="2"/>
      <c r="K7" s="2"/>
    </row>
    <row r="8" spans="1:21" s="1" customFormat="1" ht="101.25" customHeight="1" x14ac:dyDescent="0.25">
      <c r="A8" s="21" t="s">
        <v>12</v>
      </c>
      <c r="B8" s="20">
        <v>2</v>
      </c>
      <c r="C8" s="27" t="s">
        <v>25</v>
      </c>
      <c r="D8" s="27" t="s">
        <v>26</v>
      </c>
      <c r="E8" s="27" t="s">
        <v>27</v>
      </c>
      <c r="F8" s="27" t="s">
        <v>28</v>
      </c>
      <c r="G8" s="28"/>
      <c r="H8" s="29" t="e">
        <f>IF(CODE(UPPER(Tableau1[[#This Row],[Evaluation]]))&lt;67, 69-CODE(UPPER(Tableau1[[#This Row],[Evaluation]])),68-CODE(UPPER(Tableau1[[#This Row],[Evaluation]])))*Tableau1[[#This Row],[coefficient]]</f>
        <v>#VALUE!</v>
      </c>
      <c r="I8" s="30"/>
      <c r="J8" s="2"/>
      <c r="K8" s="2"/>
    </row>
    <row r="9" spans="1:21" s="1" customFormat="1" ht="150.75" customHeight="1" x14ac:dyDescent="0.25">
      <c r="A9" s="21" t="s">
        <v>13</v>
      </c>
      <c r="B9" s="20">
        <v>1</v>
      </c>
      <c r="C9" s="27" t="s">
        <v>29</v>
      </c>
      <c r="D9" s="31" t="s">
        <v>30</v>
      </c>
      <c r="E9" s="27" t="s">
        <v>31</v>
      </c>
      <c r="F9" s="27" t="s">
        <v>32</v>
      </c>
      <c r="G9" s="28"/>
      <c r="H9" s="29" t="e">
        <f>IF(CODE(UPPER(Tableau1[[#This Row],[Evaluation]]))&lt;67, 69-CODE(UPPER(Tableau1[[#This Row],[Evaluation]])),68-CODE(UPPER(Tableau1[[#This Row],[Evaluation]])))*Tableau1[[#This Row],[coefficient]]</f>
        <v>#VALUE!</v>
      </c>
      <c r="I9" s="30"/>
      <c r="J9" s="2"/>
      <c r="K9" s="2"/>
    </row>
    <row r="10" spans="1:21" s="1" customFormat="1" ht="129.75" customHeight="1" outlineLevel="1" x14ac:dyDescent="0.25">
      <c r="A10" s="21" t="s">
        <v>14</v>
      </c>
      <c r="B10" s="20">
        <v>2</v>
      </c>
      <c r="C10" s="27" t="s">
        <v>33</v>
      </c>
      <c r="D10" s="31" t="s">
        <v>34</v>
      </c>
      <c r="E10" s="27" t="s">
        <v>35</v>
      </c>
      <c r="F10" s="27" t="s">
        <v>36</v>
      </c>
      <c r="G10" s="28"/>
      <c r="H10" s="29" t="e">
        <f>IF(CODE(UPPER(Tableau1[[#This Row],[Evaluation]]))&lt;67, 69-CODE(UPPER(Tableau1[[#This Row],[Evaluation]])),68-CODE(UPPER(Tableau1[[#This Row],[Evaluation]])))*Tableau1[[#This Row],[coefficient]]</f>
        <v>#VALUE!</v>
      </c>
      <c r="I10" s="30"/>
    </row>
    <row r="11" spans="1:21" ht="129" customHeight="1" x14ac:dyDescent="0.25">
      <c r="A11" s="21" t="s">
        <v>15</v>
      </c>
      <c r="B11" s="20">
        <v>1</v>
      </c>
      <c r="C11" s="27" t="s">
        <v>37</v>
      </c>
      <c r="D11" s="31" t="s">
        <v>38</v>
      </c>
      <c r="E11" s="27" t="s">
        <v>39</v>
      </c>
      <c r="F11" s="27" t="s">
        <v>40</v>
      </c>
      <c r="G11" s="28"/>
      <c r="H11" s="29" t="e">
        <f>IF(CODE(UPPER(Tableau1[[#This Row],[Evaluation]]))&lt;67, 69-CODE(UPPER(Tableau1[[#This Row],[Evaluation]])),68-CODE(UPPER(Tableau1[[#This Row],[Evaluation]])))*Tableau1[[#This Row],[coefficient]]</f>
        <v>#VALUE!</v>
      </c>
      <c r="I11" s="3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1" s="1" customFormat="1" ht="24.75" hidden="1" customHeight="1" x14ac:dyDescent="0.25">
      <c r="A12" s="5"/>
      <c r="B12" s="13">
        <f>SUM(Tableau1[coefficient])</f>
        <v>9</v>
      </c>
      <c r="C12" s="3"/>
      <c r="D12" s="14"/>
      <c r="G12" s="6" t="e">
        <f>IF(Tableau1[[#Totals],[Calcul Intermédiaire]]&gt;=3.6,"A",IF(Tableau1[[#Totals],[Calcul Intermédiaire]]&gt;=2.6,"B", IF(Tableau1[[#Totals],[Calcul Intermédiaire]]&gt;=0.6,"C","D")))</f>
        <v>#VALUE!</v>
      </c>
      <c r="H12" s="6" t="e">
        <f>SUBTOTAL(109,Tableau1[Calcul Intermédiaire])/Tableau1[[#Totals],[coefficient]]</f>
        <v>#VALUE!</v>
      </c>
    </row>
    <row r="13" spans="1:21" s="1" customFormat="1" ht="12.75" customHeight="1" x14ac:dyDescent="0.25">
      <c r="A13" s="2"/>
      <c r="B13" s="2"/>
      <c r="C13" s="2"/>
      <c r="D13" s="2"/>
      <c r="E13" s="2"/>
      <c r="F13" s="2"/>
    </row>
    <row r="14" spans="1:21" s="1" customFormat="1" ht="34.5" customHeight="1" thickBot="1" x14ac:dyDescent="0.3">
      <c r="A14" s="12"/>
      <c r="B14" s="12"/>
      <c r="C14" s="12"/>
      <c r="D14" s="12"/>
      <c r="E14" s="2"/>
      <c r="F14" s="2"/>
    </row>
    <row r="15" spans="1:21" s="1" customFormat="1" ht="127.5" customHeight="1" thickBot="1" x14ac:dyDescent="0.3">
      <c r="A15" s="12"/>
      <c r="B15" s="12"/>
      <c r="C15" s="12"/>
      <c r="D15" s="12"/>
      <c r="E15" s="2"/>
      <c r="F15" s="15" t="s">
        <v>7</v>
      </c>
      <c r="G15" s="11" t="e">
        <f>Tableau1[[#Totals],[Evaluation]]</f>
        <v>#VALUE!</v>
      </c>
    </row>
    <row r="16" spans="1:21" s="1" customFormat="1" ht="15" customHeight="1" x14ac:dyDescent="0.25">
      <c r="A16" s="12"/>
      <c r="B16" s="12"/>
      <c r="C16" s="12"/>
      <c r="D16" s="12"/>
      <c r="E16" s="2"/>
      <c r="F16" s="2"/>
    </row>
    <row r="17" spans="1:21" s="1" customFormat="1" ht="15" customHeight="1" x14ac:dyDescent="0.25">
      <c r="A17" s="12"/>
      <c r="B17" s="12"/>
      <c r="C17" s="12"/>
      <c r="D17" s="12"/>
      <c r="E17" s="2"/>
      <c r="F17" s="2"/>
    </row>
    <row r="18" spans="1:21" s="1" customFormat="1" ht="21.75" customHeight="1" x14ac:dyDescent="0.25">
      <c r="A18" s="2"/>
      <c r="B18" s="2"/>
      <c r="C18" s="2"/>
      <c r="D18" s="2"/>
      <c r="E18" s="2"/>
      <c r="F18" s="2"/>
    </row>
    <row r="19" spans="1:21" s="1" customFormat="1" ht="54" customHeight="1" x14ac:dyDescent="0.25">
      <c r="A19" s="2"/>
      <c r="B19" s="2"/>
      <c r="C19" s="2"/>
      <c r="D19" s="2"/>
      <c r="E19" s="2"/>
      <c r="F19" s="2"/>
    </row>
    <row r="20" spans="1:21" ht="14.45" customHeight="1" x14ac:dyDescent="0.25">
      <c r="A20" s="2"/>
      <c r="B20" s="2"/>
      <c r="C20" s="2"/>
      <c r="D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s="1" customFormat="1" ht="15" customHeight="1" x14ac:dyDescent="0.25">
      <c r="A21" s="2"/>
      <c r="B21" s="2"/>
      <c r="C21" s="2"/>
      <c r="D21" s="2"/>
      <c r="E21" s="2"/>
      <c r="F21" s="2"/>
    </row>
    <row r="22" spans="1:21" ht="15" customHeight="1" x14ac:dyDescent="0.25">
      <c r="A22" s="2"/>
      <c r="B22" s="2"/>
      <c r="C22" s="2"/>
      <c r="D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s="1" customFormat="1" ht="15" customHeight="1" x14ac:dyDescent="0.25">
      <c r="A23" s="2"/>
      <c r="B23" s="2"/>
      <c r="C23" s="2"/>
      <c r="D23" s="2"/>
      <c r="E23" s="2"/>
      <c r="F23" s="2"/>
    </row>
    <row r="24" spans="1:21" s="1" customFormat="1" ht="15" customHeight="1" x14ac:dyDescent="0.25">
      <c r="A24" s="2"/>
      <c r="B24" s="2"/>
      <c r="C24" s="2"/>
      <c r="D24" s="2"/>
      <c r="E24" s="2"/>
      <c r="F24" s="2"/>
    </row>
    <row r="25" spans="1:21" s="1" customFormat="1" ht="15" customHeight="1" x14ac:dyDescent="0.25">
      <c r="A25" s="2"/>
      <c r="B25" s="2"/>
      <c r="C25" s="2"/>
      <c r="D25" s="2"/>
      <c r="E25" s="2"/>
      <c r="F25" s="2"/>
    </row>
    <row r="26" spans="1:21" s="1" customFormat="1" ht="15" customHeight="1" x14ac:dyDescent="0.25">
      <c r="A26" s="2"/>
      <c r="B26" s="2"/>
      <c r="C26" s="2"/>
      <c r="D26" s="2"/>
      <c r="E26" s="2"/>
      <c r="F26" s="2"/>
    </row>
    <row r="27" spans="1:21" s="1" customFormat="1" ht="15.75" customHeight="1" x14ac:dyDescent="0.25">
      <c r="A27" s="2"/>
      <c r="B27" s="2"/>
      <c r="C27" s="2"/>
      <c r="D27" s="2"/>
      <c r="E27" s="2"/>
      <c r="F27" s="2"/>
    </row>
    <row r="28" spans="1:21" s="1" customFormat="1" ht="15" customHeight="1" x14ac:dyDescent="0.25">
      <c r="A28" s="2"/>
      <c r="B28" s="2"/>
      <c r="C28" s="2"/>
      <c r="D28" s="2"/>
      <c r="E28" s="2"/>
      <c r="F28" s="2"/>
    </row>
    <row r="29" spans="1:21" s="1" customFormat="1" x14ac:dyDescent="0.25">
      <c r="A29" s="2"/>
      <c r="B29" s="2"/>
      <c r="C29" s="2"/>
      <c r="D29" s="2"/>
      <c r="E29" s="2"/>
      <c r="F29" s="2"/>
    </row>
    <row r="30" spans="1:21" s="1" customFormat="1" x14ac:dyDescent="0.25">
      <c r="A30" s="2"/>
      <c r="B30" s="2"/>
      <c r="C30" s="2"/>
      <c r="D30" s="2"/>
      <c r="E30" s="2"/>
      <c r="F30" s="2"/>
    </row>
    <row r="31" spans="1:21" x14ac:dyDescent="0.25">
      <c r="A31" s="2"/>
      <c r="B31" s="2"/>
      <c r="C31" s="2"/>
      <c r="D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2"/>
      <c r="B32" s="2"/>
      <c r="C32" s="2"/>
      <c r="D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2"/>
      <c r="B33" s="2"/>
      <c r="C33" s="2"/>
      <c r="D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2"/>
      <c r="B34" s="2"/>
      <c r="C34" s="2"/>
      <c r="D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2"/>
      <c r="B35" s="2"/>
      <c r="C35" s="2"/>
      <c r="D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2"/>
      <c r="B36" s="2"/>
      <c r="C36" s="2"/>
      <c r="D36" s="2"/>
      <c r="F36" s="2"/>
      <c r="G36" s="1"/>
      <c r="H36" s="1"/>
      <c r="I36" s="1"/>
      <c r="J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2"/>
      <c r="B37" s="2"/>
      <c r="C37" s="2"/>
      <c r="D37" s="2"/>
      <c r="F37" s="2"/>
      <c r="G37" s="1"/>
      <c r="H37" s="1"/>
      <c r="I37" s="1"/>
      <c r="J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2"/>
      <c r="B38" s="2"/>
      <c r="C38" s="2"/>
      <c r="D38" s="2"/>
      <c r="F38" s="2"/>
      <c r="G38" s="1"/>
      <c r="H38" s="1"/>
      <c r="J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2"/>
      <c r="B39" s="2"/>
      <c r="C39" s="2"/>
      <c r="D39" s="2"/>
      <c r="F39" s="2"/>
      <c r="G39" s="1"/>
      <c r="H39" s="1"/>
      <c r="J39" s="1"/>
    </row>
    <row r="40" spans="1:21" x14ac:dyDescent="0.25">
      <c r="A40" s="4"/>
      <c r="B40" s="4"/>
      <c r="C40" s="4"/>
      <c r="F40" s="1"/>
      <c r="G40" s="1"/>
      <c r="J40" s="1"/>
    </row>
    <row r="41" spans="1:21" x14ac:dyDescent="0.25">
      <c r="J41" s="1"/>
    </row>
  </sheetData>
  <mergeCells count="1">
    <mergeCell ref="A1:I2"/>
  </mergeCells>
  <conditionalFormatting sqref="B12">
    <cfRule type="cellIs" dxfId="11" priority="5" operator="notEqual">
      <formula>1</formula>
    </cfRule>
    <cfRule type="cellIs" dxfId="10" priority="6" operator="equal">
      <formula>1</formula>
    </cfRule>
  </conditionalFormatting>
  <conditionalFormatting sqref="G15">
    <cfRule type="cellIs" dxfId="9" priority="1" operator="equal">
      <formula>"D"</formula>
    </cfRule>
    <cfRule type="cellIs" dxfId="8" priority="2" operator="equal">
      <formula>"C"</formula>
    </cfRule>
    <cfRule type="cellIs" dxfId="7" priority="3" operator="equal">
      <formula>"B"</formula>
    </cfRule>
    <cfRule type="cellIs" dxfId="6" priority="4" operator="equal">
      <formula>"A"</formula>
    </cfRule>
  </conditionalFormatting>
  <dataValidations count="1">
    <dataValidation type="list" allowBlank="1" showInputMessage="1" showErrorMessage="1" sqref="G6:G11">
      <formula1>$C$5:$F$5</formula1>
    </dataValidation>
  </dataValidations>
  <pageMargins left="0.7" right="0.7" top="0.75" bottom="0.75" header="0.3" footer="0.3"/>
  <pageSetup paperSize="9" orientation="landscape" r:id="rId1"/>
  <ignoredErrors>
    <ignoredError sqref="G15" evalError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0E5E6DA5FEF4197C895230C484C30" ma:contentTypeVersion="7" ma:contentTypeDescription="Crée un document." ma:contentTypeScope="" ma:versionID="d2ca582dae32ffd14686010f9d9e3553">
  <xsd:schema xmlns:xsd="http://www.w3.org/2001/XMLSchema" xmlns:xs="http://www.w3.org/2001/XMLSchema" xmlns:p="http://schemas.microsoft.com/office/2006/metadata/properties" xmlns:ns2="03b8073f-b625-4129-b579-5c394e625ffc" targetNamespace="http://schemas.microsoft.com/office/2006/metadata/properties" ma:root="true" ma:fieldsID="935751aac9ff0faa641afe45d6bf0e69" ns2:_="">
    <xsd:import namespace="03b8073f-b625-4129-b579-5c394e625f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b8073f-b625-4129-b579-5c394e625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533A95-1B18-458D-94D0-BB633E3CD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b8073f-b625-4129-b579-5c394e625f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F82C74-8FE4-4B93-B8C7-4961500081CA}">
  <ds:schemaRefs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03b8073f-b625-4129-b579-5c394e625ff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7276B75-1DC9-4E69-B1E6-FFF72BD2DE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2022-03-07T17:45:45Z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0x0101001F20E5E6DA5FEF4197C895230C484C30</vt:lpwstr>
  </property>
</Properties>
</file>